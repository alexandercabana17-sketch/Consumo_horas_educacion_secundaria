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lla_Curricular_MYC" sheetId="1" r:id="rId4"/>
  </sheets>
  <definedNames>
    <definedName hidden="1" localSheetId="0" name="_xlnm._FilterDatabase">Malla_Curricular_MYC!$A$1:$O$67</definedName>
  </definedNames>
  <calcPr/>
</workbook>
</file>

<file path=xl/sharedStrings.xml><?xml version="1.0" encoding="utf-8"?>
<sst xmlns="http://schemas.openxmlformats.org/spreadsheetml/2006/main" count="598" uniqueCount="91">
  <si>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</si>
  <si>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</si>
  <si>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</si>
  <si>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</si>
  <si>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</si>
  <si>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</si>
  <si>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</si>
  <si>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</si>
  <si>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</si>
  <si>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</si>
  <si>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</si>
  <si>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</si>
  <si>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</si>
  <si>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</si>
  <si>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</si>
  <si>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MYC</t>
  </si>
  <si>
    <t>Educación MYC 2026</t>
  </si>
  <si>
    <t>Álgebra I</t>
  </si>
  <si>
    <t>O</t>
  </si>
  <si>
    <t>E</t>
  </si>
  <si>
    <t>Presencial</t>
  </si>
  <si>
    <t>Aula</t>
  </si>
  <si>
    <t>Laboratorio</t>
  </si>
  <si>
    <t>Tarde</t>
  </si>
  <si>
    <t>Historia de la Educación</t>
  </si>
  <si>
    <t>G</t>
  </si>
  <si>
    <t>Fundamentos Neurobiológicos del Aprendizaje</t>
  </si>
  <si>
    <t>Introducción a la Vida Universitaria</t>
  </si>
  <si>
    <t>Comunicación I</t>
  </si>
  <si>
    <t>Literatura y Teatro</t>
  </si>
  <si>
    <t>Familia y Escuela</t>
  </si>
  <si>
    <t>Álgebra II</t>
  </si>
  <si>
    <t>Introducción al Mundo Natural</t>
  </si>
  <si>
    <t>Virtual</t>
  </si>
  <si>
    <t>Estudios de campo</t>
  </si>
  <si>
    <t>Filosofía de la Educación</t>
  </si>
  <si>
    <t>Psicología del Desarrollo</t>
  </si>
  <si>
    <t>Comunicación II</t>
  </si>
  <si>
    <t>Lógica</t>
  </si>
  <si>
    <t>Música y Artes Visuales</t>
  </si>
  <si>
    <t>Geometría Euclidiana</t>
  </si>
  <si>
    <t>Historia de las Matemáticas y las Ciencias Natturales</t>
  </si>
  <si>
    <t>Biología</t>
  </si>
  <si>
    <t>Teorías y Enfoques Curriculares</t>
  </si>
  <si>
    <t>Epistemología de la Educación</t>
  </si>
  <si>
    <t>Filosofía de la Naturaleza</t>
  </si>
  <si>
    <t>Antropología</t>
  </si>
  <si>
    <t>Trigonometría y Geometría Analítica</t>
  </si>
  <si>
    <t>Química I</t>
  </si>
  <si>
    <t>Planificación de la Enseñanza</t>
  </si>
  <si>
    <t>Evaluación</t>
  </si>
  <si>
    <t>Antropología Pedagógica</t>
  </si>
  <si>
    <t>Historia de Occidente</t>
  </si>
  <si>
    <t>Educación de la Afectividad</t>
  </si>
  <si>
    <t>Cálculo</t>
  </si>
  <si>
    <t>Química II</t>
  </si>
  <si>
    <t>Didáctica de las Matemáticas I</t>
  </si>
  <si>
    <t>Sociología de la Educación</t>
  </si>
  <si>
    <t>Moral</t>
  </si>
  <si>
    <t>Análisis de la Realidad Peruana</t>
  </si>
  <si>
    <t>Introducción a la Investigación Científica</t>
  </si>
  <si>
    <t>Estadística</t>
  </si>
  <si>
    <t>Tecnología</t>
  </si>
  <si>
    <t>Física y Astronomía I</t>
  </si>
  <si>
    <t>Didáctica de las Ciencias Naturales I</t>
  </si>
  <si>
    <t>Metafísica</t>
  </si>
  <si>
    <t>Fe y Razón</t>
  </si>
  <si>
    <t>Metodología de la Investigación Cualitativa</t>
  </si>
  <si>
    <t>Física y Astronomía II</t>
  </si>
  <si>
    <t>Didáctica de las Matemáticas II</t>
  </si>
  <si>
    <t>Educación en Virtudes</t>
  </si>
  <si>
    <t>Teología</t>
  </si>
  <si>
    <t>Inclusión y Dignidad de la Persona</t>
  </si>
  <si>
    <t>Tutoría</t>
  </si>
  <si>
    <t>Metodología de la Investigación Cuantitativa</t>
  </si>
  <si>
    <t>Didáctica de las Ciencias Naturales II</t>
  </si>
  <si>
    <t>Educación en el Bien, la Verdad y la Belleza</t>
  </si>
  <si>
    <t>Ética Profesional</t>
  </si>
  <si>
    <t>Enseñanza Social de la Iglesia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</si>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</sst>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vertical="bottom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17.88"/>
    <col customWidth="1" min="3" max="3" width="29.25"/>
    <col customWidth="1" min="4" max="4" width="16.0"/>
    <col customWidth="1" min="8" max="8" width="13.88"/>
    <col customWidth="1" min="10" max="11" width="19.63"/>
    <col customWidth="1" min="12" max="12" width="25.88"/>
    <col customWidth="1" min="13" max="13" width="22.63"/>
    <col customWidth="1" min="14" max="14" width="24.6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>
      <c r="A2" s="4" t="s">
        <v>15</v>
      </c>
      <c r="B2" s="4" t="s">
        <v>16</v>
      </c>
      <c r="C2" s="5" t="s">
        <v>17</v>
      </c>
      <c r="D2" s="6">
        <v>1187.0</v>
      </c>
      <c r="E2" s="7" t="s">
        <v>18</v>
      </c>
      <c r="F2" s="7">
        <v>1.0</v>
      </c>
      <c r="G2" s="7">
        <v>3.0</v>
      </c>
      <c r="H2" s="7" t="s">
        <v>19</v>
      </c>
      <c r="I2" s="7" t="s">
        <v>20</v>
      </c>
      <c r="J2" s="7">
        <v>2.0</v>
      </c>
      <c r="K2" s="7">
        <v>2.0</v>
      </c>
      <c r="L2" s="6">
        <f t="shared" ref="L2:L67" si="1">J2+K2</f>
        <v>4</v>
      </c>
      <c r="M2" s="7" t="s">
        <v>21</v>
      </c>
      <c r="N2" s="7" t="s">
        <v>22</v>
      </c>
      <c r="O2" s="7" t="s">
        <v>23</v>
      </c>
    </row>
    <row r="3">
      <c r="A3" s="4" t="s">
        <v>15</v>
      </c>
      <c r="B3" s="4" t="s">
        <v>16</v>
      </c>
      <c r="C3" s="5" t="s">
        <v>24</v>
      </c>
      <c r="D3" s="6">
        <v>4337.0</v>
      </c>
      <c r="E3" s="7" t="s">
        <v>18</v>
      </c>
      <c r="F3" s="7">
        <v>1.0</v>
      </c>
      <c r="G3" s="7">
        <v>4.0</v>
      </c>
      <c r="H3" s="7" t="s">
        <v>25</v>
      </c>
      <c r="I3" s="7" t="s">
        <v>20</v>
      </c>
      <c r="J3" s="7">
        <v>4.0</v>
      </c>
      <c r="K3" s="7">
        <v>0.0</v>
      </c>
      <c r="L3" s="6">
        <f t="shared" si="1"/>
        <v>4</v>
      </c>
      <c r="M3" s="7" t="s">
        <v>21</v>
      </c>
      <c r="N3" s="6"/>
      <c r="O3" s="7" t="s">
        <v>23</v>
      </c>
    </row>
    <row r="4">
      <c r="A4" s="4" t="s">
        <v>15</v>
      </c>
      <c r="B4" s="4" t="s">
        <v>16</v>
      </c>
      <c r="C4" s="5" t="s">
        <v>26</v>
      </c>
      <c r="D4" s="6">
        <v>8012.0</v>
      </c>
      <c r="E4" s="7" t="s">
        <v>18</v>
      </c>
      <c r="F4" s="7">
        <v>1.0</v>
      </c>
      <c r="G4" s="7">
        <v>4.0</v>
      </c>
      <c r="H4" s="7" t="s">
        <v>25</v>
      </c>
      <c r="I4" s="7" t="s">
        <v>20</v>
      </c>
      <c r="J4" s="7">
        <v>4.0</v>
      </c>
      <c r="K4" s="7">
        <v>0.0</v>
      </c>
      <c r="L4" s="6">
        <f t="shared" si="1"/>
        <v>4</v>
      </c>
      <c r="M4" s="7" t="s">
        <v>21</v>
      </c>
      <c r="N4" s="6"/>
      <c r="O4" s="7" t="s">
        <v>23</v>
      </c>
    </row>
    <row r="5">
      <c r="A5" s="4" t="s">
        <v>15</v>
      </c>
      <c r="B5" s="4" t="s">
        <v>16</v>
      </c>
      <c r="C5" s="5" t="s">
        <v>27</v>
      </c>
      <c r="D5" s="6">
        <v>5557.0</v>
      </c>
      <c r="E5" s="7" t="s">
        <v>18</v>
      </c>
      <c r="F5" s="7">
        <v>1.0</v>
      </c>
      <c r="G5" s="7">
        <v>3.0</v>
      </c>
      <c r="H5" s="7" t="s">
        <v>25</v>
      </c>
      <c r="I5" s="7" t="s">
        <v>20</v>
      </c>
      <c r="J5" s="7">
        <v>2.0</v>
      </c>
      <c r="K5" s="7">
        <v>2.0</v>
      </c>
      <c r="L5" s="6">
        <f t="shared" si="1"/>
        <v>4</v>
      </c>
      <c r="M5" s="7" t="s">
        <v>21</v>
      </c>
      <c r="N5" s="7" t="s">
        <v>22</v>
      </c>
      <c r="O5" s="7" t="s">
        <v>23</v>
      </c>
    </row>
    <row r="6">
      <c r="A6" s="4" t="s">
        <v>15</v>
      </c>
      <c r="B6" s="4" t="s">
        <v>16</v>
      </c>
      <c r="C6" s="5" t="s">
        <v>28</v>
      </c>
      <c r="D6" s="6">
        <v>7821.0</v>
      </c>
      <c r="E6" s="7" t="s">
        <v>18</v>
      </c>
      <c r="F6" s="7">
        <v>1.0</v>
      </c>
      <c r="G6" s="7">
        <v>2.0</v>
      </c>
      <c r="H6" s="7" t="s">
        <v>25</v>
      </c>
      <c r="I6" s="7" t="s">
        <v>20</v>
      </c>
      <c r="J6" s="7">
        <v>1.0</v>
      </c>
      <c r="K6" s="7">
        <v>2.0</v>
      </c>
      <c r="L6" s="6">
        <f t="shared" si="1"/>
        <v>3</v>
      </c>
      <c r="M6" s="7" t="s">
        <v>21</v>
      </c>
      <c r="N6" s="7" t="s">
        <v>22</v>
      </c>
      <c r="O6" s="7" t="s">
        <v>23</v>
      </c>
    </row>
    <row r="7">
      <c r="A7" s="4" t="s">
        <v>15</v>
      </c>
      <c r="B7" s="4" t="s">
        <v>16</v>
      </c>
      <c r="C7" s="5" t="s">
        <v>29</v>
      </c>
      <c r="D7" s="6">
        <v>9160.0</v>
      </c>
      <c r="E7" s="7" t="s">
        <v>18</v>
      </c>
      <c r="F7" s="7">
        <v>1.0</v>
      </c>
      <c r="G7" s="7">
        <v>4.0</v>
      </c>
      <c r="H7" s="7" t="s">
        <v>25</v>
      </c>
      <c r="I7" s="7" t="s">
        <v>20</v>
      </c>
      <c r="J7" s="7">
        <v>2.0</v>
      </c>
      <c r="K7" s="7">
        <v>4.0</v>
      </c>
      <c r="L7" s="6">
        <f t="shared" si="1"/>
        <v>6</v>
      </c>
      <c r="M7" s="7" t="s">
        <v>21</v>
      </c>
      <c r="N7" s="7" t="s">
        <v>22</v>
      </c>
      <c r="O7" s="7" t="s">
        <v>23</v>
      </c>
    </row>
    <row r="8">
      <c r="A8" s="4" t="s">
        <v>15</v>
      </c>
      <c r="B8" s="4" t="s">
        <v>16</v>
      </c>
      <c r="C8" s="5" t="s">
        <v>30</v>
      </c>
      <c r="D8" s="6">
        <v>2557.0</v>
      </c>
      <c r="E8" s="7" t="s">
        <v>18</v>
      </c>
      <c r="F8" s="7">
        <v>1.0</v>
      </c>
      <c r="G8" s="7">
        <v>3.0</v>
      </c>
      <c r="H8" s="7" t="s">
        <v>25</v>
      </c>
      <c r="I8" s="7" t="s">
        <v>20</v>
      </c>
      <c r="J8" s="7">
        <v>3.0</v>
      </c>
      <c r="K8" s="7">
        <v>0.0</v>
      </c>
      <c r="L8" s="6">
        <f t="shared" si="1"/>
        <v>3</v>
      </c>
      <c r="M8" s="7" t="s">
        <v>21</v>
      </c>
      <c r="N8" s="6"/>
      <c r="O8" s="7" t="s">
        <v>23</v>
      </c>
    </row>
    <row r="9">
      <c r="A9" s="4" t="s">
        <v>15</v>
      </c>
      <c r="B9" s="4" t="s">
        <v>16</v>
      </c>
      <c r="C9" s="5" t="s">
        <v>31</v>
      </c>
      <c r="D9" s="6">
        <v>6260.0</v>
      </c>
      <c r="E9" s="7" t="s">
        <v>18</v>
      </c>
      <c r="F9" s="7">
        <v>2.0</v>
      </c>
      <c r="G9" s="7">
        <v>3.0</v>
      </c>
      <c r="H9" s="7" t="s">
        <v>19</v>
      </c>
      <c r="I9" s="7" t="s">
        <v>20</v>
      </c>
      <c r="J9" s="7">
        <v>2.0</v>
      </c>
      <c r="K9" s="7">
        <v>2.0</v>
      </c>
      <c r="L9" s="6">
        <f t="shared" si="1"/>
        <v>4</v>
      </c>
      <c r="M9" s="7" t="s">
        <v>21</v>
      </c>
      <c r="N9" s="7" t="s">
        <v>22</v>
      </c>
      <c r="O9" s="7" t="s">
        <v>23</v>
      </c>
    </row>
    <row r="10">
      <c r="A10" s="4" t="s">
        <v>15</v>
      </c>
      <c r="B10" s="4" t="s">
        <v>16</v>
      </c>
      <c r="C10" s="5" t="s">
        <v>32</v>
      </c>
      <c r="D10" s="6">
        <v>4130.0</v>
      </c>
      <c r="E10" s="7" t="s">
        <v>18</v>
      </c>
      <c r="F10" s="7">
        <v>2.0</v>
      </c>
      <c r="G10" s="7">
        <v>2.0</v>
      </c>
      <c r="H10" s="7" t="s">
        <v>19</v>
      </c>
      <c r="I10" s="7" t="s">
        <v>33</v>
      </c>
      <c r="J10" s="7">
        <v>1.0</v>
      </c>
      <c r="K10" s="7">
        <v>2.0</v>
      </c>
      <c r="L10" s="6">
        <f t="shared" si="1"/>
        <v>3</v>
      </c>
      <c r="M10" s="7" t="s">
        <v>33</v>
      </c>
      <c r="N10" s="7" t="s">
        <v>33</v>
      </c>
      <c r="O10" s="7" t="s">
        <v>23</v>
      </c>
    </row>
    <row r="11">
      <c r="A11" s="4" t="s">
        <v>15</v>
      </c>
      <c r="B11" s="4" t="s">
        <v>16</v>
      </c>
      <c r="C11" s="5" t="s">
        <v>34</v>
      </c>
      <c r="D11" s="6">
        <v>9652.0</v>
      </c>
      <c r="E11" s="7" t="s">
        <v>18</v>
      </c>
      <c r="F11" s="7">
        <v>2.0</v>
      </c>
      <c r="G11" s="7">
        <v>2.0</v>
      </c>
      <c r="H11" s="7" t="s">
        <v>19</v>
      </c>
      <c r="I11" s="7" t="s">
        <v>20</v>
      </c>
      <c r="J11" s="7">
        <v>0.0</v>
      </c>
      <c r="K11" s="7">
        <v>4.0</v>
      </c>
      <c r="L11" s="6">
        <f t="shared" si="1"/>
        <v>4</v>
      </c>
      <c r="M11" s="6"/>
      <c r="N11" s="7" t="s">
        <v>22</v>
      </c>
      <c r="O11" s="7" t="s">
        <v>23</v>
      </c>
    </row>
    <row r="12">
      <c r="A12" s="4" t="s">
        <v>15</v>
      </c>
      <c r="B12" s="4" t="s">
        <v>16</v>
      </c>
      <c r="C12" s="5" t="s">
        <v>35</v>
      </c>
      <c r="D12" s="6">
        <v>4072.0</v>
      </c>
      <c r="E12" s="7" t="s">
        <v>18</v>
      </c>
      <c r="F12" s="7">
        <v>2.0</v>
      </c>
      <c r="G12" s="7">
        <v>4.0</v>
      </c>
      <c r="H12" s="7" t="s">
        <v>25</v>
      </c>
      <c r="I12" s="7" t="s">
        <v>33</v>
      </c>
      <c r="J12" s="7">
        <v>4.0</v>
      </c>
      <c r="K12" s="7">
        <v>0.0</v>
      </c>
      <c r="L12" s="6">
        <f t="shared" si="1"/>
        <v>4</v>
      </c>
      <c r="M12" s="7" t="s">
        <v>33</v>
      </c>
      <c r="N12" s="7" t="s">
        <v>33</v>
      </c>
      <c r="O12" s="7" t="s">
        <v>23</v>
      </c>
    </row>
    <row r="13">
      <c r="A13" s="4" t="s">
        <v>15</v>
      </c>
      <c r="B13" s="4" t="s">
        <v>16</v>
      </c>
      <c r="C13" s="5" t="s">
        <v>36</v>
      </c>
      <c r="D13" s="6">
        <v>2381.0</v>
      </c>
      <c r="E13" s="7" t="s">
        <v>18</v>
      </c>
      <c r="F13" s="7">
        <v>2.0</v>
      </c>
      <c r="G13" s="7">
        <v>3.0</v>
      </c>
      <c r="H13" s="7" t="s">
        <v>19</v>
      </c>
      <c r="I13" s="7" t="s">
        <v>20</v>
      </c>
      <c r="J13" s="7">
        <v>3.0</v>
      </c>
      <c r="K13" s="7">
        <v>0.0</v>
      </c>
      <c r="L13" s="6">
        <f t="shared" si="1"/>
        <v>3</v>
      </c>
      <c r="M13" s="7" t="s">
        <v>21</v>
      </c>
      <c r="N13" s="6"/>
      <c r="O13" s="7" t="s">
        <v>23</v>
      </c>
    </row>
    <row r="14">
      <c r="A14" s="4" t="s">
        <v>15</v>
      </c>
      <c r="B14" s="4" t="s">
        <v>16</v>
      </c>
      <c r="C14" s="5" t="s">
        <v>37</v>
      </c>
      <c r="D14" s="6">
        <v>7854.0</v>
      </c>
      <c r="E14" s="7" t="s">
        <v>18</v>
      </c>
      <c r="F14" s="7">
        <v>2.0</v>
      </c>
      <c r="G14" s="7">
        <v>2.0</v>
      </c>
      <c r="H14" s="7" t="s">
        <v>25</v>
      </c>
      <c r="I14" s="7" t="s">
        <v>20</v>
      </c>
      <c r="J14" s="7">
        <v>1.0</v>
      </c>
      <c r="K14" s="7">
        <v>2.0</v>
      </c>
      <c r="L14" s="6">
        <f t="shared" si="1"/>
        <v>3</v>
      </c>
      <c r="M14" s="7" t="s">
        <v>21</v>
      </c>
      <c r="N14" s="7" t="s">
        <v>22</v>
      </c>
      <c r="O14" s="7" t="s">
        <v>23</v>
      </c>
    </row>
    <row r="15">
      <c r="A15" s="4" t="s">
        <v>15</v>
      </c>
      <c r="B15" s="4" t="s">
        <v>16</v>
      </c>
      <c r="C15" s="5" t="s">
        <v>38</v>
      </c>
      <c r="D15" s="6">
        <v>9296.0</v>
      </c>
      <c r="E15" s="7" t="s">
        <v>18</v>
      </c>
      <c r="F15" s="7">
        <v>2.0</v>
      </c>
      <c r="G15" s="7">
        <v>2.0</v>
      </c>
      <c r="H15" s="7" t="s">
        <v>25</v>
      </c>
      <c r="I15" s="7" t="s">
        <v>33</v>
      </c>
      <c r="J15" s="7">
        <v>1.0</v>
      </c>
      <c r="K15" s="7">
        <v>2.0</v>
      </c>
      <c r="L15" s="6">
        <f t="shared" si="1"/>
        <v>3</v>
      </c>
      <c r="M15" s="7" t="s">
        <v>33</v>
      </c>
      <c r="N15" s="7" t="s">
        <v>33</v>
      </c>
      <c r="O15" s="7" t="s">
        <v>23</v>
      </c>
    </row>
    <row r="16">
      <c r="A16" s="4" t="s">
        <v>15</v>
      </c>
      <c r="B16" s="4" t="s">
        <v>16</v>
      </c>
      <c r="C16" s="5" t="s">
        <v>39</v>
      </c>
      <c r="D16" s="6">
        <v>2778.0</v>
      </c>
      <c r="E16" s="7" t="s">
        <v>18</v>
      </c>
      <c r="F16" s="7">
        <v>2.0</v>
      </c>
      <c r="G16" s="7">
        <v>4.0</v>
      </c>
      <c r="H16" s="7" t="s">
        <v>25</v>
      </c>
      <c r="I16" s="7" t="s">
        <v>20</v>
      </c>
      <c r="J16" s="7">
        <v>2.0</v>
      </c>
      <c r="K16" s="7">
        <v>4.0</v>
      </c>
      <c r="L16" s="6">
        <f t="shared" si="1"/>
        <v>6</v>
      </c>
      <c r="M16" s="7" t="s">
        <v>21</v>
      </c>
      <c r="N16" s="7" t="s">
        <v>22</v>
      </c>
      <c r="O16" s="7" t="s">
        <v>23</v>
      </c>
    </row>
    <row r="17">
      <c r="A17" s="4" t="s">
        <v>15</v>
      </c>
      <c r="B17" s="4" t="s">
        <v>16</v>
      </c>
      <c r="C17" s="5" t="s">
        <v>40</v>
      </c>
      <c r="D17" s="6">
        <v>5469.0</v>
      </c>
      <c r="E17" s="7" t="s">
        <v>18</v>
      </c>
      <c r="F17" s="7">
        <v>3.0</v>
      </c>
      <c r="G17" s="7">
        <v>4.0</v>
      </c>
      <c r="H17" s="7" t="s">
        <v>19</v>
      </c>
      <c r="I17" s="7" t="s">
        <v>20</v>
      </c>
      <c r="J17" s="7">
        <v>2.0</v>
      </c>
      <c r="K17" s="7">
        <v>4.0</v>
      </c>
      <c r="L17" s="6">
        <f t="shared" si="1"/>
        <v>6</v>
      </c>
      <c r="M17" s="7" t="s">
        <v>21</v>
      </c>
      <c r="N17" s="7" t="s">
        <v>22</v>
      </c>
      <c r="O17" s="7" t="s">
        <v>23</v>
      </c>
    </row>
    <row r="18">
      <c r="A18" s="4" t="s">
        <v>15</v>
      </c>
      <c r="B18" s="4" t="s">
        <v>16</v>
      </c>
      <c r="C18" s="5" t="s">
        <v>41</v>
      </c>
      <c r="D18" s="6">
        <v>8912.0</v>
      </c>
      <c r="E18" s="7" t="s">
        <v>18</v>
      </c>
      <c r="F18" s="7">
        <v>3.0</v>
      </c>
      <c r="G18" s="7">
        <v>2.0</v>
      </c>
      <c r="H18" s="7" t="s">
        <v>25</v>
      </c>
      <c r="I18" s="7" t="s">
        <v>20</v>
      </c>
      <c r="J18" s="7">
        <v>1.0</v>
      </c>
      <c r="K18" s="7">
        <v>2.0</v>
      </c>
      <c r="L18" s="6">
        <f t="shared" si="1"/>
        <v>3</v>
      </c>
      <c r="M18" s="7" t="s">
        <v>21</v>
      </c>
      <c r="N18" s="7" t="s">
        <v>22</v>
      </c>
      <c r="O18" s="7" t="s">
        <v>23</v>
      </c>
    </row>
    <row r="19">
      <c r="A19" s="4" t="s">
        <v>15</v>
      </c>
      <c r="B19" s="4" t="s">
        <v>16</v>
      </c>
      <c r="C19" s="5" t="s">
        <v>42</v>
      </c>
      <c r="D19" s="6">
        <v>1200.0</v>
      </c>
      <c r="E19" s="7" t="s">
        <v>18</v>
      </c>
      <c r="F19" s="7">
        <v>3.0</v>
      </c>
      <c r="G19" s="7">
        <v>3.0</v>
      </c>
      <c r="H19" s="7" t="s">
        <v>19</v>
      </c>
      <c r="I19" s="7" t="s">
        <v>20</v>
      </c>
      <c r="J19" s="7">
        <v>1.0</v>
      </c>
      <c r="K19" s="7">
        <v>4.0</v>
      </c>
      <c r="L19" s="6">
        <f t="shared" si="1"/>
        <v>5</v>
      </c>
      <c r="M19" s="7" t="s">
        <v>21</v>
      </c>
      <c r="N19" s="7" t="s">
        <v>22</v>
      </c>
      <c r="O19" s="7" t="s">
        <v>23</v>
      </c>
    </row>
    <row r="20">
      <c r="A20" s="4" t="s">
        <v>15</v>
      </c>
      <c r="B20" s="4" t="s">
        <v>16</v>
      </c>
      <c r="C20" s="5" t="s">
        <v>43</v>
      </c>
      <c r="D20" s="6">
        <v>8518.0</v>
      </c>
      <c r="E20" s="7" t="s">
        <v>18</v>
      </c>
      <c r="F20" s="7">
        <v>3.0</v>
      </c>
      <c r="G20" s="7">
        <v>4.0</v>
      </c>
      <c r="H20" s="7" t="s">
        <v>25</v>
      </c>
      <c r="I20" s="7" t="s">
        <v>20</v>
      </c>
      <c r="J20" s="7">
        <v>3.0</v>
      </c>
      <c r="K20" s="7">
        <v>2.0</v>
      </c>
      <c r="L20" s="6">
        <f t="shared" si="1"/>
        <v>5</v>
      </c>
      <c r="M20" s="7" t="s">
        <v>21</v>
      </c>
      <c r="N20" s="7" t="s">
        <v>22</v>
      </c>
      <c r="O20" s="7" t="s">
        <v>23</v>
      </c>
    </row>
    <row r="21">
      <c r="A21" s="4" t="s">
        <v>15</v>
      </c>
      <c r="B21" s="4" t="s">
        <v>16</v>
      </c>
      <c r="C21" s="5" t="s">
        <v>44</v>
      </c>
      <c r="D21" s="6">
        <v>6469.0</v>
      </c>
      <c r="E21" s="7" t="s">
        <v>18</v>
      </c>
      <c r="F21" s="7">
        <v>3.0</v>
      </c>
      <c r="G21" s="7">
        <v>3.0</v>
      </c>
      <c r="H21" s="7" t="s">
        <v>25</v>
      </c>
      <c r="I21" s="7" t="s">
        <v>33</v>
      </c>
      <c r="J21" s="7">
        <v>3.0</v>
      </c>
      <c r="K21" s="7">
        <v>0.0</v>
      </c>
      <c r="L21" s="6">
        <f t="shared" si="1"/>
        <v>3</v>
      </c>
      <c r="M21" s="7" t="s">
        <v>33</v>
      </c>
      <c r="N21" s="7" t="s">
        <v>33</v>
      </c>
      <c r="O21" s="7" t="s">
        <v>23</v>
      </c>
    </row>
    <row r="22">
      <c r="A22" s="4" t="s">
        <v>15</v>
      </c>
      <c r="B22" s="4" t="s">
        <v>16</v>
      </c>
      <c r="C22" s="5" t="s">
        <v>45</v>
      </c>
      <c r="D22" s="6">
        <v>8401.0</v>
      </c>
      <c r="E22" s="7" t="s">
        <v>18</v>
      </c>
      <c r="F22" s="7">
        <v>3.0</v>
      </c>
      <c r="G22" s="7">
        <v>3.0</v>
      </c>
      <c r="H22" s="7" t="s">
        <v>25</v>
      </c>
      <c r="I22" s="7" t="s">
        <v>33</v>
      </c>
      <c r="J22" s="7">
        <v>2.0</v>
      </c>
      <c r="K22" s="7">
        <v>2.0</v>
      </c>
      <c r="L22" s="6">
        <f t="shared" si="1"/>
        <v>4</v>
      </c>
      <c r="M22" s="7" t="s">
        <v>33</v>
      </c>
      <c r="N22" s="7" t="s">
        <v>33</v>
      </c>
      <c r="O22" s="7" t="s">
        <v>23</v>
      </c>
    </row>
    <row r="23">
      <c r="A23" s="4" t="s">
        <v>15</v>
      </c>
      <c r="B23" s="4" t="s">
        <v>16</v>
      </c>
      <c r="C23" s="5" t="s">
        <v>46</v>
      </c>
      <c r="D23" s="6">
        <v>8762.0</v>
      </c>
      <c r="E23" s="7" t="s">
        <v>18</v>
      </c>
      <c r="F23" s="7">
        <v>3.0</v>
      </c>
      <c r="G23" s="7">
        <v>3.0</v>
      </c>
      <c r="H23" s="7" t="s">
        <v>25</v>
      </c>
      <c r="I23" s="7" t="s">
        <v>20</v>
      </c>
      <c r="J23" s="7">
        <v>2.0</v>
      </c>
      <c r="K23" s="7">
        <v>2.0</v>
      </c>
      <c r="L23" s="6">
        <f t="shared" si="1"/>
        <v>4</v>
      </c>
      <c r="M23" s="7" t="s">
        <v>21</v>
      </c>
      <c r="N23" s="7" t="s">
        <v>22</v>
      </c>
      <c r="O23" s="7" t="s">
        <v>23</v>
      </c>
    </row>
    <row r="24">
      <c r="A24" s="4" t="s">
        <v>15</v>
      </c>
      <c r="B24" s="4" t="s">
        <v>16</v>
      </c>
      <c r="C24" s="5" t="s">
        <v>47</v>
      </c>
      <c r="D24" s="6">
        <v>5709.0</v>
      </c>
      <c r="E24" s="7" t="s">
        <v>18</v>
      </c>
      <c r="F24" s="7">
        <v>4.0</v>
      </c>
      <c r="G24" s="7">
        <v>3.0</v>
      </c>
      <c r="H24" s="7" t="s">
        <v>19</v>
      </c>
      <c r="I24" s="7" t="s">
        <v>20</v>
      </c>
      <c r="J24" s="7">
        <v>2.0</v>
      </c>
      <c r="K24" s="7">
        <v>2.0</v>
      </c>
      <c r="L24" s="6">
        <f t="shared" si="1"/>
        <v>4</v>
      </c>
      <c r="M24" s="7" t="s">
        <v>21</v>
      </c>
      <c r="N24" s="7" t="s">
        <v>22</v>
      </c>
      <c r="O24" s="7" t="s">
        <v>23</v>
      </c>
    </row>
    <row r="25">
      <c r="A25" s="4" t="s">
        <v>15</v>
      </c>
      <c r="B25" s="4" t="s">
        <v>16</v>
      </c>
      <c r="C25" s="5" t="s">
        <v>48</v>
      </c>
      <c r="D25" s="6">
        <v>5818.0</v>
      </c>
      <c r="E25" s="7" t="s">
        <v>18</v>
      </c>
      <c r="F25" s="7">
        <v>4.0</v>
      </c>
      <c r="G25" s="7">
        <v>3.0</v>
      </c>
      <c r="H25" s="7" t="s">
        <v>19</v>
      </c>
      <c r="I25" s="7" t="s">
        <v>20</v>
      </c>
      <c r="J25" s="7">
        <v>1.0</v>
      </c>
      <c r="K25" s="7">
        <v>4.0</v>
      </c>
      <c r="L25" s="6">
        <f t="shared" si="1"/>
        <v>5</v>
      </c>
      <c r="M25" s="7" t="s">
        <v>21</v>
      </c>
      <c r="N25" s="7" t="s">
        <v>22</v>
      </c>
      <c r="O25" s="7" t="s">
        <v>23</v>
      </c>
    </row>
    <row r="26">
      <c r="A26" s="4" t="s">
        <v>15</v>
      </c>
      <c r="B26" s="4" t="s">
        <v>16</v>
      </c>
      <c r="C26" s="5" t="s">
        <v>49</v>
      </c>
      <c r="D26" s="6">
        <v>3079.0</v>
      </c>
      <c r="E26" s="7" t="s">
        <v>18</v>
      </c>
      <c r="F26" s="7">
        <v>4.0</v>
      </c>
      <c r="G26" s="7">
        <v>3.0</v>
      </c>
      <c r="H26" s="7" t="s">
        <v>25</v>
      </c>
      <c r="I26" s="7" t="s">
        <v>33</v>
      </c>
      <c r="J26" s="7">
        <v>1.0</v>
      </c>
      <c r="K26" s="7">
        <v>4.0</v>
      </c>
      <c r="L26" s="6">
        <f t="shared" si="1"/>
        <v>5</v>
      </c>
      <c r="M26" s="7" t="s">
        <v>33</v>
      </c>
      <c r="N26" s="7" t="s">
        <v>33</v>
      </c>
      <c r="O26" s="7" t="s">
        <v>23</v>
      </c>
    </row>
    <row r="27">
      <c r="A27" s="4" t="s">
        <v>15</v>
      </c>
      <c r="B27" s="4" t="s">
        <v>16</v>
      </c>
      <c r="C27" s="5" t="s">
        <v>50</v>
      </c>
      <c r="D27" s="6">
        <v>1512.0</v>
      </c>
      <c r="E27" s="7" t="s">
        <v>18</v>
      </c>
      <c r="F27" s="7">
        <v>4.0</v>
      </c>
      <c r="G27" s="7">
        <v>3.0</v>
      </c>
      <c r="H27" s="7" t="s">
        <v>25</v>
      </c>
      <c r="I27" s="7" t="s">
        <v>20</v>
      </c>
      <c r="J27" s="7">
        <v>2.0</v>
      </c>
      <c r="K27" s="7">
        <v>2.0</v>
      </c>
      <c r="L27" s="6">
        <f t="shared" si="1"/>
        <v>4</v>
      </c>
      <c r="M27" s="7" t="s">
        <v>21</v>
      </c>
      <c r="N27" s="7" t="s">
        <v>22</v>
      </c>
      <c r="O27" s="7" t="s">
        <v>23</v>
      </c>
    </row>
    <row r="28">
      <c r="A28" s="4" t="s">
        <v>15</v>
      </c>
      <c r="B28" s="4" t="s">
        <v>16</v>
      </c>
      <c r="C28" s="5" t="s">
        <v>51</v>
      </c>
      <c r="D28" s="6">
        <v>3132.0</v>
      </c>
      <c r="E28" s="7" t="s">
        <v>18</v>
      </c>
      <c r="F28" s="7">
        <v>4.0</v>
      </c>
      <c r="G28" s="7">
        <v>3.0</v>
      </c>
      <c r="H28" s="7" t="s">
        <v>25</v>
      </c>
      <c r="I28" s="7" t="s">
        <v>20</v>
      </c>
      <c r="J28" s="7">
        <v>3.0</v>
      </c>
      <c r="K28" s="7">
        <v>0.0</v>
      </c>
      <c r="L28" s="6">
        <f t="shared" si="1"/>
        <v>3</v>
      </c>
      <c r="M28" s="7" t="s">
        <v>21</v>
      </c>
      <c r="N28" s="6"/>
      <c r="O28" s="7" t="s">
        <v>23</v>
      </c>
    </row>
    <row r="29">
      <c r="A29" s="4" t="s">
        <v>15</v>
      </c>
      <c r="B29" s="4" t="s">
        <v>16</v>
      </c>
      <c r="C29" s="5" t="s">
        <v>52</v>
      </c>
      <c r="D29" s="6">
        <v>7795.0</v>
      </c>
      <c r="E29" s="7" t="s">
        <v>18</v>
      </c>
      <c r="F29" s="7">
        <v>4.0</v>
      </c>
      <c r="G29" s="7">
        <v>4.0</v>
      </c>
      <c r="H29" s="7" t="s">
        <v>25</v>
      </c>
      <c r="I29" s="7" t="s">
        <v>20</v>
      </c>
      <c r="J29" s="7">
        <v>3.0</v>
      </c>
      <c r="K29" s="7">
        <v>2.0</v>
      </c>
      <c r="L29" s="6">
        <f t="shared" si="1"/>
        <v>5</v>
      </c>
      <c r="M29" s="7" t="s">
        <v>21</v>
      </c>
      <c r="N29" s="7" t="s">
        <v>22</v>
      </c>
      <c r="O29" s="7" t="s">
        <v>23</v>
      </c>
    </row>
    <row r="30">
      <c r="A30" s="4" t="s">
        <v>15</v>
      </c>
      <c r="B30" s="4" t="s">
        <v>16</v>
      </c>
      <c r="C30" s="5" t="s">
        <v>53</v>
      </c>
      <c r="D30" s="6">
        <v>1793.0</v>
      </c>
      <c r="E30" s="7" t="s">
        <v>18</v>
      </c>
      <c r="F30" s="7">
        <v>4.0</v>
      </c>
      <c r="G30" s="7">
        <v>3.0</v>
      </c>
      <c r="H30" s="7" t="s">
        <v>25</v>
      </c>
      <c r="I30" s="7" t="s">
        <v>20</v>
      </c>
      <c r="J30" s="7">
        <v>2.0</v>
      </c>
      <c r="K30" s="7">
        <v>2.0</v>
      </c>
      <c r="L30" s="6">
        <f t="shared" si="1"/>
        <v>4</v>
      </c>
      <c r="M30" s="7" t="s">
        <v>21</v>
      </c>
      <c r="N30" s="7" t="s">
        <v>22</v>
      </c>
      <c r="O30" s="7" t="s">
        <v>23</v>
      </c>
    </row>
    <row r="31">
      <c r="A31" s="4" t="s">
        <v>15</v>
      </c>
      <c r="B31" s="4" t="s">
        <v>16</v>
      </c>
      <c r="C31" s="5" t="s">
        <v>54</v>
      </c>
      <c r="D31" s="6">
        <v>5855.0</v>
      </c>
      <c r="E31" s="7" t="s">
        <v>18</v>
      </c>
      <c r="F31" s="7">
        <v>5.0</v>
      </c>
      <c r="G31" s="7">
        <v>3.0</v>
      </c>
      <c r="H31" s="7" t="s">
        <v>19</v>
      </c>
      <c r="I31" s="7" t="s">
        <v>20</v>
      </c>
      <c r="J31" s="7">
        <v>0.0</v>
      </c>
      <c r="K31" s="7">
        <v>6.0</v>
      </c>
      <c r="L31" s="6">
        <f t="shared" si="1"/>
        <v>6</v>
      </c>
      <c r="M31" s="6"/>
      <c r="N31" s="7" t="s">
        <v>22</v>
      </c>
      <c r="O31" s="7" t="s">
        <v>23</v>
      </c>
    </row>
    <row r="32">
      <c r="A32" s="4" t="s">
        <v>15</v>
      </c>
      <c r="B32" s="4" t="s">
        <v>16</v>
      </c>
      <c r="C32" s="5" t="s">
        <v>55</v>
      </c>
      <c r="D32" s="6">
        <v>5458.0</v>
      </c>
      <c r="E32" s="7" t="s">
        <v>18</v>
      </c>
      <c r="F32" s="7">
        <v>5.0</v>
      </c>
      <c r="G32" s="7">
        <v>3.0</v>
      </c>
      <c r="H32" s="7" t="s">
        <v>19</v>
      </c>
      <c r="I32" s="7" t="s">
        <v>20</v>
      </c>
      <c r="J32" s="7">
        <v>1.0</v>
      </c>
      <c r="K32" s="7">
        <v>4.0</v>
      </c>
      <c r="L32" s="6">
        <f t="shared" si="1"/>
        <v>5</v>
      </c>
      <c r="M32" s="7" t="s">
        <v>21</v>
      </c>
      <c r="N32" s="7" t="s">
        <v>22</v>
      </c>
      <c r="O32" s="7" t="s">
        <v>23</v>
      </c>
    </row>
    <row r="33">
      <c r="A33" s="4" t="s">
        <v>15</v>
      </c>
      <c r="B33" s="4" t="s">
        <v>16</v>
      </c>
      <c r="C33" s="5" t="s">
        <v>56</v>
      </c>
      <c r="D33" s="6">
        <v>4741.0</v>
      </c>
      <c r="E33" s="7" t="s">
        <v>18</v>
      </c>
      <c r="F33" s="7">
        <v>5.0</v>
      </c>
      <c r="G33" s="7">
        <v>3.0</v>
      </c>
      <c r="H33" s="7" t="s">
        <v>19</v>
      </c>
      <c r="I33" s="7" t="s">
        <v>20</v>
      </c>
      <c r="J33" s="7">
        <v>2.0</v>
      </c>
      <c r="K33" s="7">
        <v>2.0</v>
      </c>
      <c r="L33" s="6">
        <f t="shared" si="1"/>
        <v>4</v>
      </c>
      <c r="M33" s="7" t="s">
        <v>21</v>
      </c>
      <c r="N33" s="7" t="s">
        <v>22</v>
      </c>
      <c r="O33" s="7" t="s">
        <v>23</v>
      </c>
    </row>
    <row r="34">
      <c r="A34" s="4" t="s">
        <v>15</v>
      </c>
      <c r="B34" s="4" t="s">
        <v>16</v>
      </c>
      <c r="C34" s="5" t="s">
        <v>57</v>
      </c>
      <c r="D34" s="6">
        <v>9953.0</v>
      </c>
      <c r="E34" s="7" t="s">
        <v>18</v>
      </c>
      <c r="F34" s="7">
        <v>5.0</v>
      </c>
      <c r="G34" s="7">
        <v>3.0</v>
      </c>
      <c r="H34" s="7" t="s">
        <v>25</v>
      </c>
      <c r="I34" s="7" t="s">
        <v>20</v>
      </c>
      <c r="J34" s="7">
        <v>3.0</v>
      </c>
      <c r="K34" s="7">
        <v>0.0</v>
      </c>
      <c r="L34" s="6">
        <f t="shared" si="1"/>
        <v>3</v>
      </c>
      <c r="M34" s="7" t="s">
        <v>21</v>
      </c>
      <c r="N34" s="6"/>
      <c r="O34" s="7" t="s">
        <v>23</v>
      </c>
    </row>
    <row r="35">
      <c r="A35" s="4" t="s">
        <v>15</v>
      </c>
      <c r="B35" s="4" t="s">
        <v>16</v>
      </c>
      <c r="C35" s="5" t="s">
        <v>58</v>
      </c>
      <c r="D35" s="6">
        <v>3064.0</v>
      </c>
      <c r="E35" s="7" t="s">
        <v>18</v>
      </c>
      <c r="F35" s="7">
        <v>5.0</v>
      </c>
      <c r="G35" s="7">
        <v>4.0</v>
      </c>
      <c r="H35" s="7" t="s">
        <v>25</v>
      </c>
      <c r="I35" s="7" t="s">
        <v>20</v>
      </c>
      <c r="J35" s="7">
        <v>3.0</v>
      </c>
      <c r="K35" s="7">
        <v>2.0</v>
      </c>
      <c r="L35" s="6">
        <f t="shared" si="1"/>
        <v>5</v>
      </c>
      <c r="M35" s="7" t="s">
        <v>21</v>
      </c>
      <c r="N35" s="7" t="s">
        <v>22</v>
      </c>
      <c r="O35" s="7" t="s">
        <v>23</v>
      </c>
    </row>
    <row r="36">
      <c r="A36" s="4" t="s">
        <v>15</v>
      </c>
      <c r="B36" s="4" t="s">
        <v>16</v>
      </c>
      <c r="C36" s="5" t="s">
        <v>59</v>
      </c>
      <c r="D36" s="6">
        <v>2301.0</v>
      </c>
      <c r="E36" s="7" t="s">
        <v>18</v>
      </c>
      <c r="F36" s="7">
        <v>5.0</v>
      </c>
      <c r="G36" s="7">
        <v>3.0</v>
      </c>
      <c r="H36" s="7" t="s">
        <v>25</v>
      </c>
      <c r="I36" s="7" t="s">
        <v>20</v>
      </c>
      <c r="J36" s="7">
        <v>2.0</v>
      </c>
      <c r="K36" s="7">
        <v>2.0</v>
      </c>
      <c r="L36" s="6">
        <f t="shared" si="1"/>
        <v>4</v>
      </c>
      <c r="M36" s="7" t="s">
        <v>21</v>
      </c>
      <c r="N36" s="7" t="s">
        <v>22</v>
      </c>
      <c r="O36" s="7" t="s">
        <v>23</v>
      </c>
    </row>
    <row r="37">
      <c r="A37" s="4" t="s">
        <v>15</v>
      </c>
      <c r="B37" s="4" t="s">
        <v>16</v>
      </c>
      <c r="C37" s="5" t="s">
        <v>60</v>
      </c>
      <c r="D37" s="6">
        <v>2738.0</v>
      </c>
      <c r="E37" s="7" t="s">
        <v>18</v>
      </c>
      <c r="F37" s="7">
        <v>5.0</v>
      </c>
      <c r="G37" s="7">
        <v>3.0</v>
      </c>
      <c r="H37" s="7" t="s">
        <v>25</v>
      </c>
      <c r="I37" s="7" t="s">
        <v>20</v>
      </c>
      <c r="J37" s="7">
        <v>2.0</v>
      </c>
      <c r="K37" s="7">
        <v>2.0</v>
      </c>
      <c r="L37" s="6">
        <f t="shared" si="1"/>
        <v>4</v>
      </c>
      <c r="M37" s="7" t="s">
        <v>21</v>
      </c>
      <c r="N37" s="7" t="s">
        <v>22</v>
      </c>
      <c r="O37" s="7" t="s">
        <v>23</v>
      </c>
    </row>
    <row r="38">
      <c r="A38" s="4" t="s">
        <v>15</v>
      </c>
      <c r="B38" s="4" t="s">
        <v>16</v>
      </c>
      <c r="C38" s="5" t="s">
        <v>61</v>
      </c>
      <c r="D38" s="6">
        <v>5599.0</v>
      </c>
      <c r="E38" s="7" t="s">
        <v>18</v>
      </c>
      <c r="F38" s="7">
        <v>6.0</v>
      </c>
      <c r="G38" s="7">
        <v>3.0</v>
      </c>
      <c r="H38" s="7" t="s">
        <v>19</v>
      </c>
      <c r="I38" s="7" t="s">
        <v>20</v>
      </c>
      <c r="J38" s="7">
        <v>3.0</v>
      </c>
      <c r="K38" s="7">
        <v>0.0</v>
      </c>
      <c r="L38" s="6">
        <f t="shared" si="1"/>
        <v>3</v>
      </c>
      <c r="M38" s="7" t="s">
        <v>21</v>
      </c>
      <c r="N38" s="6"/>
      <c r="O38" s="7" t="s">
        <v>23</v>
      </c>
    </row>
    <row r="39">
      <c r="A39" s="4" t="s">
        <v>15</v>
      </c>
      <c r="B39" s="4" t="s">
        <v>16</v>
      </c>
      <c r="C39" s="5" t="s">
        <v>62</v>
      </c>
      <c r="D39" s="6">
        <v>6459.0</v>
      </c>
      <c r="E39" s="7" t="s">
        <v>18</v>
      </c>
      <c r="F39" s="7">
        <v>6.0</v>
      </c>
      <c r="G39" s="7">
        <v>4.0</v>
      </c>
      <c r="H39" s="7" t="s">
        <v>19</v>
      </c>
      <c r="I39" s="7" t="s">
        <v>20</v>
      </c>
      <c r="J39" s="7">
        <v>3.0</v>
      </c>
      <c r="K39" s="7">
        <v>2.0</v>
      </c>
      <c r="L39" s="6">
        <f t="shared" si="1"/>
        <v>5</v>
      </c>
      <c r="M39" s="7" t="s">
        <v>21</v>
      </c>
      <c r="N39" s="7" t="s">
        <v>22</v>
      </c>
      <c r="O39" s="7" t="s">
        <v>23</v>
      </c>
    </row>
    <row r="40">
      <c r="A40" s="4" t="s">
        <v>15</v>
      </c>
      <c r="B40" s="4" t="s">
        <v>16</v>
      </c>
      <c r="C40" s="5" t="s">
        <v>63</v>
      </c>
      <c r="D40" s="6">
        <v>5702.0</v>
      </c>
      <c r="E40" s="7" t="s">
        <v>18</v>
      </c>
      <c r="F40" s="7">
        <v>6.0</v>
      </c>
      <c r="G40" s="7">
        <v>3.0</v>
      </c>
      <c r="H40" s="7" t="s">
        <v>19</v>
      </c>
      <c r="I40" s="7" t="s">
        <v>20</v>
      </c>
      <c r="J40" s="7">
        <v>1.0</v>
      </c>
      <c r="K40" s="7">
        <v>4.0</v>
      </c>
      <c r="L40" s="6">
        <f t="shared" si="1"/>
        <v>5</v>
      </c>
      <c r="M40" s="7" t="s">
        <v>21</v>
      </c>
      <c r="N40" s="7" t="s">
        <v>22</v>
      </c>
      <c r="O40" s="7" t="s">
        <v>23</v>
      </c>
    </row>
    <row r="41">
      <c r="A41" s="4" t="s">
        <v>15</v>
      </c>
      <c r="B41" s="4" t="s">
        <v>16</v>
      </c>
      <c r="C41" s="5" t="s">
        <v>64</v>
      </c>
      <c r="D41" s="6">
        <v>5733.0</v>
      </c>
      <c r="E41" s="7" t="s">
        <v>18</v>
      </c>
      <c r="F41" s="7">
        <v>6.0</v>
      </c>
      <c r="G41" s="7">
        <v>3.0</v>
      </c>
      <c r="H41" s="7" t="s">
        <v>19</v>
      </c>
      <c r="I41" s="7" t="s">
        <v>20</v>
      </c>
      <c r="J41" s="7">
        <v>2.0</v>
      </c>
      <c r="K41" s="7">
        <v>2.0</v>
      </c>
      <c r="L41" s="6">
        <f t="shared" si="1"/>
        <v>4</v>
      </c>
      <c r="M41" s="7" t="s">
        <v>21</v>
      </c>
      <c r="N41" s="7" t="s">
        <v>22</v>
      </c>
      <c r="O41" s="7" t="s">
        <v>23</v>
      </c>
    </row>
    <row r="42">
      <c r="A42" s="4" t="s">
        <v>15</v>
      </c>
      <c r="B42" s="4" t="s">
        <v>16</v>
      </c>
      <c r="C42" s="5" t="s">
        <v>65</v>
      </c>
      <c r="D42" s="6">
        <v>3560.0</v>
      </c>
      <c r="E42" s="7" t="s">
        <v>18</v>
      </c>
      <c r="F42" s="7">
        <v>6.0</v>
      </c>
      <c r="G42" s="7">
        <v>3.0</v>
      </c>
      <c r="H42" s="7" t="s">
        <v>25</v>
      </c>
      <c r="I42" s="7" t="s">
        <v>20</v>
      </c>
      <c r="J42" s="7">
        <v>2.0</v>
      </c>
      <c r="K42" s="7">
        <v>2.0</v>
      </c>
      <c r="L42" s="6">
        <f t="shared" si="1"/>
        <v>4</v>
      </c>
      <c r="M42" s="7" t="s">
        <v>21</v>
      </c>
      <c r="N42" s="7" t="s">
        <v>22</v>
      </c>
      <c r="O42" s="7" t="s">
        <v>23</v>
      </c>
    </row>
    <row r="43">
      <c r="A43" s="4" t="s">
        <v>15</v>
      </c>
      <c r="B43" s="4" t="s">
        <v>16</v>
      </c>
      <c r="C43" s="5" t="s">
        <v>66</v>
      </c>
      <c r="D43" s="6">
        <v>3184.0</v>
      </c>
      <c r="E43" s="7" t="s">
        <v>18</v>
      </c>
      <c r="F43" s="7">
        <v>6.0</v>
      </c>
      <c r="G43" s="7">
        <v>3.0</v>
      </c>
      <c r="H43" s="7" t="s">
        <v>25</v>
      </c>
      <c r="I43" s="7" t="s">
        <v>33</v>
      </c>
      <c r="J43" s="7">
        <v>3.0</v>
      </c>
      <c r="K43" s="7">
        <v>0.0</v>
      </c>
      <c r="L43" s="6">
        <f t="shared" si="1"/>
        <v>3</v>
      </c>
      <c r="M43" s="7" t="s">
        <v>33</v>
      </c>
      <c r="N43" s="7" t="s">
        <v>33</v>
      </c>
      <c r="O43" s="7" t="s">
        <v>23</v>
      </c>
    </row>
    <row r="44">
      <c r="A44" s="4" t="s">
        <v>15</v>
      </c>
      <c r="B44" s="4" t="s">
        <v>16</v>
      </c>
      <c r="C44" s="5" t="s">
        <v>67</v>
      </c>
      <c r="D44" s="6">
        <v>2123.0</v>
      </c>
      <c r="E44" s="7" t="s">
        <v>18</v>
      </c>
      <c r="F44" s="7">
        <v>6.0</v>
      </c>
      <c r="G44" s="7">
        <v>3.0</v>
      </c>
      <c r="H44" s="7" t="s">
        <v>25</v>
      </c>
      <c r="I44" s="7" t="s">
        <v>20</v>
      </c>
      <c r="J44" s="7">
        <v>2.0</v>
      </c>
      <c r="K44" s="7">
        <v>2.0</v>
      </c>
      <c r="L44" s="6">
        <f t="shared" si="1"/>
        <v>4</v>
      </c>
      <c r="M44" s="7" t="s">
        <v>21</v>
      </c>
      <c r="N44" s="7" t="s">
        <v>22</v>
      </c>
      <c r="O44" s="7" t="s">
        <v>23</v>
      </c>
    </row>
    <row r="45">
      <c r="A45" s="4" t="s">
        <v>15</v>
      </c>
      <c r="B45" s="4" t="s">
        <v>16</v>
      </c>
      <c r="C45" s="5" t="s">
        <v>68</v>
      </c>
      <c r="D45" s="6">
        <v>2929.0</v>
      </c>
      <c r="E45" s="7" t="s">
        <v>18</v>
      </c>
      <c r="F45" s="7">
        <v>7.0</v>
      </c>
      <c r="G45" s="7">
        <v>3.0</v>
      </c>
      <c r="H45" s="7" t="s">
        <v>19</v>
      </c>
      <c r="I45" s="7" t="s">
        <v>20</v>
      </c>
      <c r="J45" s="7">
        <v>1.0</v>
      </c>
      <c r="K45" s="7">
        <v>4.0</v>
      </c>
      <c r="L45" s="6">
        <f t="shared" si="1"/>
        <v>5</v>
      </c>
      <c r="M45" s="7" t="s">
        <v>21</v>
      </c>
      <c r="N45" s="7" t="s">
        <v>22</v>
      </c>
      <c r="O45" s="7" t="s">
        <v>23</v>
      </c>
    </row>
    <row r="46">
      <c r="A46" s="4" t="s">
        <v>15</v>
      </c>
      <c r="B46" s="4" t="s">
        <v>16</v>
      </c>
      <c r="C46" s="5" t="s">
        <v>69</v>
      </c>
      <c r="D46" s="6">
        <v>2964.0</v>
      </c>
      <c r="E46" s="7" t="s">
        <v>18</v>
      </c>
      <c r="F46" s="7">
        <v>7.0</v>
      </c>
      <c r="G46" s="7">
        <v>4.0</v>
      </c>
      <c r="H46" s="7" t="s">
        <v>19</v>
      </c>
      <c r="I46" s="7" t="s">
        <v>20</v>
      </c>
      <c r="J46" s="7">
        <v>3.0</v>
      </c>
      <c r="K46" s="7">
        <v>2.0</v>
      </c>
      <c r="L46" s="6">
        <f t="shared" si="1"/>
        <v>5</v>
      </c>
      <c r="M46" s="7" t="s">
        <v>21</v>
      </c>
      <c r="N46" s="7" t="s">
        <v>22</v>
      </c>
      <c r="O46" s="7" t="s">
        <v>23</v>
      </c>
    </row>
    <row r="47">
      <c r="A47" s="4" t="s">
        <v>15</v>
      </c>
      <c r="B47" s="4" t="s">
        <v>16</v>
      </c>
      <c r="C47" s="5" t="s">
        <v>70</v>
      </c>
      <c r="D47" s="6">
        <v>5358.0</v>
      </c>
      <c r="E47" s="7" t="s">
        <v>18</v>
      </c>
      <c r="F47" s="7">
        <v>7.0</v>
      </c>
      <c r="G47" s="7">
        <v>3.0</v>
      </c>
      <c r="H47" s="7" t="s">
        <v>25</v>
      </c>
      <c r="I47" s="7" t="s">
        <v>20</v>
      </c>
      <c r="J47" s="7">
        <v>2.0</v>
      </c>
      <c r="K47" s="7">
        <v>2.0</v>
      </c>
      <c r="L47" s="6">
        <f t="shared" si="1"/>
        <v>4</v>
      </c>
      <c r="M47" s="7" t="s">
        <v>21</v>
      </c>
      <c r="N47" s="7" t="s">
        <v>22</v>
      </c>
      <c r="O47" s="7" t="s">
        <v>23</v>
      </c>
    </row>
    <row r="48">
      <c r="A48" s="4" t="s">
        <v>15</v>
      </c>
      <c r="B48" s="4" t="s">
        <v>16</v>
      </c>
      <c r="C48" s="5" t="s">
        <v>71</v>
      </c>
      <c r="D48" s="6">
        <v>5478.0</v>
      </c>
      <c r="E48" s="7" t="s">
        <v>18</v>
      </c>
      <c r="F48" s="7">
        <v>7.0</v>
      </c>
      <c r="G48" s="7">
        <v>3.0</v>
      </c>
      <c r="H48" s="7" t="s">
        <v>25</v>
      </c>
      <c r="I48" s="7" t="s">
        <v>20</v>
      </c>
      <c r="J48" s="7">
        <v>3.0</v>
      </c>
      <c r="K48" s="7">
        <v>0.0</v>
      </c>
      <c r="L48" s="6">
        <f t="shared" si="1"/>
        <v>3</v>
      </c>
      <c r="M48" s="7" t="s">
        <v>21</v>
      </c>
      <c r="N48" s="6"/>
      <c r="O48" s="7" t="s">
        <v>23</v>
      </c>
    </row>
    <row r="49">
      <c r="A49" s="4" t="s">
        <v>15</v>
      </c>
      <c r="B49" s="4" t="s">
        <v>16</v>
      </c>
      <c r="C49" s="5" t="s">
        <v>72</v>
      </c>
      <c r="D49" s="6">
        <v>7408.0</v>
      </c>
      <c r="E49" s="7" t="s">
        <v>18</v>
      </c>
      <c r="F49" s="7">
        <v>7.0</v>
      </c>
      <c r="G49" s="7">
        <v>3.0</v>
      </c>
      <c r="H49" s="7" t="s">
        <v>25</v>
      </c>
      <c r="I49" s="7" t="s">
        <v>20</v>
      </c>
      <c r="J49" s="7">
        <v>2.0</v>
      </c>
      <c r="K49" s="7">
        <v>2.0</v>
      </c>
      <c r="L49" s="6">
        <f t="shared" si="1"/>
        <v>4</v>
      </c>
      <c r="M49" s="7" t="s">
        <v>21</v>
      </c>
      <c r="N49" s="7" t="s">
        <v>22</v>
      </c>
      <c r="O49" s="7" t="s">
        <v>23</v>
      </c>
    </row>
    <row r="50">
      <c r="A50" s="4" t="s">
        <v>15</v>
      </c>
      <c r="B50" s="4" t="s">
        <v>16</v>
      </c>
      <c r="C50" s="5" t="s">
        <v>73</v>
      </c>
      <c r="D50" s="6">
        <v>8636.0</v>
      </c>
      <c r="E50" s="7" t="s">
        <v>18</v>
      </c>
      <c r="F50" s="7">
        <v>7.0</v>
      </c>
      <c r="G50" s="7">
        <v>3.0</v>
      </c>
      <c r="H50" s="7" t="s">
        <v>19</v>
      </c>
      <c r="I50" s="7" t="s">
        <v>20</v>
      </c>
      <c r="J50" s="7">
        <v>2.0</v>
      </c>
      <c r="K50" s="7">
        <v>2.0</v>
      </c>
      <c r="L50" s="6">
        <f t="shared" si="1"/>
        <v>4</v>
      </c>
      <c r="M50" s="7" t="s">
        <v>21</v>
      </c>
      <c r="N50" s="7" t="s">
        <v>22</v>
      </c>
      <c r="O50" s="7" t="s">
        <v>23</v>
      </c>
    </row>
    <row r="51">
      <c r="A51" s="4" t="s">
        <v>15</v>
      </c>
      <c r="B51" s="4" t="s">
        <v>16</v>
      </c>
      <c r="C51" s="5" t="s">
        <v>74</v>
      </c>
      <c r="D51" s="6">
        <v>3681.0</v>
      </c>
      <c r="E51" s="7" t="s">
        <v>18</v>
      </c>
      <c r="F51" s="7">
        <v>7.0</v>
      </c>
      <c r="G51" s="7">
        <v>3.0</v>
      </c>
      <c r="H51" s="7" t="s">
        <v>25</v>
      </c>
      <c r="I51" s="7" t="s">
        <v>20</v>
      </c>
      <c r="J51" s="7">
        <v>2.0</v>
      </c>
      <c r="K51" s="7">
        <v>2.0</v>
      </c>
      <c r="L51" s="6">
        <f t="shared" si="1"/>
        <v>4</v>
      </c>
      <c r="M51" s="7" t="s">
        <v>21</v>
      </c>
      <c r="N51" s="7" t="s">
        <v>22</v>
      </c>
      <c r="O51" s="7" t="s">
        <v>23</v>
      </c>
    </row>
    <row r="52">
      <c r="A52" s="4" t="s">
        <v>15</v>
      </c>
      <c r="B52" s="4" t="s">
        <v>16</v>
      </c>
      <c r="C52" s="5" t="s">
        <v>75</v>
      </c>
      <c r="D52" s="6">
        <v>6228.0</v>
      </c>
      <c r="E52" s="7" t="s">
        <v>18</v>
      </c>
      <c r="F52" s="7">
        <v>8.0</v>
      </c>
      <c r="G52" s="7">
        <v>4.0</v>
      </c>
      <c r="H52" s="7" t="s">
        <v>19</v>
      </c>
      <c r="I52" s="7" t="s">
        <v>20</v>
      </c>
      <c r="J52" s="7">
        <v>3.0</v>
      </c>
      <c r="K52" s="7">
        <v>2.0</v>
      </c>
      <c r="L52" s="6">
        <f t="shared" si="1"/>
        <v>5</v>
      </c>
      <c r="M52" s="7" t="s">
        <v>21</v>
      </c>
      <c r="N52" s="7" t="s">
        <v>22</v>
      </c>
      <c r="O52" s="7" t="s">
        <v>23</v>
      </c>
    </row>
    <row r="53">
      <c r="A53" s="4" t="s">
        <v>15</v>
      </c>
      <c r="B53" s="4" t="s">
        <v>16</v>
      </c>
      <c r="C53" s="5" t="s">
        <v>76</v>
      </c>
      <c r="D53" s="6">
        <v>9639.0</v>
      </c>
      <c r="E53" s="7" t="s">
        <v>18</v>
      </c>
      <c r="F53" s="7">
        <v>8.0</v>
      </c>
      <c r="G53" s="7">
        <v>3.0</v>
      </c>
      <c r="H53" s="7" t="s">
        <v>25</v>
      </c>
      <c r="I53" s="7" t="s">
        <v>33</v>
      </c>
      <c r="J53" s="7">
        <v>2.0</v>
      </c>
      <c r="K53" s="7">
        <v>2.0</v>
      </c>
      <c r="L53" s="6">
        <f t="shared" si="1"/>
        <v>4</v>
      </c>
      <c r="M53" s="7" t="s">
        <v>33</v>
      </c>
      <c r="N53" s="7" t="s">
        <v>33</v>
      </c>
      <c r="O53" s="7" t="s">
        <v>23</v>
      </c>
    </row>
    <row r="54">
      <c r="A54" s="4" t="s">
        <v>15</v>
      </c>
      <c r="B54" s="4" t="s">
        <v>16</v>
      </c>
      <c r="C54" s="5" t="s">
        <v>77</v>
      </c>
      <c r="D54" s="6">
        <v>4966.0</v>
      </c>
      <c r="E54" s="7" t="s">
        <v>18</v>
      </c>
      <c r="F54" s="7">
        <v>8.0</v>
      </c>
      <c r="G54" s="7">
        <v>2.0</v>
      </c>
      <c r="H54" s="7" t="s">
        <v>25</v>
      </c>
      <c r="I54" s="7" t="s">
        <v>20</v>
      </c>
      <c r="J54" s="7">
        <v>1.0</v>
      </c>
      <c r="K54" s="7">
        <v>2.0</v>
      </c>
      <c r="L54" s="6">
        <f t="shared" si="1"/>
        <v>3</v>
      </c>
      <c r="M54" s="7" t="s">
        <v>21</v>
      </c>
      <c r="N54" s="7" t="s">
        <v>22</v>
      </c>
      <c r="O54" s="7" t="s">
        <v>23</v>
      </c>
    </row>
    <row r="55">
      <c r="A55" s="4" t="s">
        <v>15</v>
      </c>
      <c r="B55" s="4" t="s">
        <v>16</v>
      </c>
      <c r="C55" s="5" t="s">
        <v>78</v>
      </c>
      <c r="D55" s="6">
        <v>7748.0</v>
      </c>
      <c r="E55" s="7" t="s">
        <v>18</v>
      </c>
      <c r="F55" s="7">
        <v>8.0</v>
      </c>
      <c r="G55" s="7">
        <v>3.0</v>
      </c>
      <c r="H55" s="7" t="s">
        <v>25</v>
      </c>
      <c r="I55" s="7" t="s">
        <v>20</v>
      </c>
      <c r="J55" s="7">
        <v>3.0</v>
      </c>
      <c r="K55" s="7">
        <v>0.0</v>
      </c>
      <c r="L55" s="6">
        <f t="shared" si="1"/>
        <v>3</v>
      </c>
      <c r="M55" s="7" t="s">
        <v>21</v>
      </c>
      <c r="N55" s="6"/>
      <c r="O55" s="7" t="s">
        <v>23</v>
      </c>
    </row>
    <row r="56">
      <c r="A56" s="4" t="s">
        <v>15</v>
      </c>
      <c r="B56" s="4" t="s">
        <v>16</v>
      </c>
      <c r="C56" s="5" t="s">
        <v>79</v>
      </c>
      <c r="D56" s="6">
        <v>2283.0</v>
      </c>
      <c r="E56" s="7" t="s">
        <v>18</v>
      </c>
      <c r="F56" s="7">
        <v>8.0</v>
      </c>
      <c r="G56" s="7">
        <v>3.0</v>
      </c>
      <c r="H56" s="7" t="s">
        <v>19</v>
      </c>
      <c r="I56" s="7" t="s">
        <v>20</v>
      </c>
      <c r="J56" s="7">
        <v>2.0</v>
      </c>
      <c r="K56" s="7">
        <v>2.0</v>
      </c>
      <c r="L56" s="6">
        <f t="shared" si="1"/>
        <v>4</v>
      </c>
      <c r="M56" s="7" t="s">
        <v>21</v>
      </c>
      <c r="N56" s="7" t="s">
        <v>22</v>
      </c>
      <c r="O56" s="7" t="s">
        <v>23</v>
      </c>
    </row>
    <row r="57">
      <c r="A57" s="4" t="s">
        <v>15</v>
      </c>
      <c r="B57" s="4" t="s">
        <v>16</v>
      </c>
      <c r="C57" s="5" t="s">
        <v>80</v>
      </c>
      <c r="D57" s="6">
        <v>3480.0</v>
      </c>
      <c r="E57" s="7" t="s">
        <v>19</v>
      </c>
      <c r="F57" s="7">
        <v>8.0</v>
      </c>
      <c r="G57" s="7">
        <v>2.0</v>
      </c>
      <c r="H57" s="7" t="s">
        <v>25</v>
      </c>
      <c r="I57" s="7" t="s">
        <v>33</v>
      </c>
      <c r="J57" s="7">
        <v>1.0</v>
      </c>
      <c r="K57" s="7">
        <v>2.0</v>
      </c>
      <c r="L57" s="6">
        <f t="shared" si="1"/>
        <v>3</v>
      </c>
      <c r="M57" s="7" t="s">
        <v>33</v>
      </c>
      <c r="N57" s="7" t="s">
        <v>33</v>
      </c>
      <c r="O57" s="7" t="s">
        <v>23</v>
      </c>
    </row>
    <row r="58">
      <c r="A58" s="4" t="s">
        <v>15</v>
      </c>
      <c r="B58" s="4" t="s">
        <v>16</v>
      </c>
      <c r="C58" s="5" t="s">
        <v>81</v>
      </c>
      <c r="D58" s="6">
        <v>1433.0</v>
      </c>
      <c r="E58" s="7" t="s">
        <v>18</v>
      </c>
      <c r="F58" s="7">
        <v>8.0</v>
      </c>
      <c r="G58" s="7">
        <v>4.0</v>
      </c>
      <c r="H58" s="7" t="s">
        <v>19</v>
      </c>
      <c r="I58" s="7" t="s">
        <v>20</v>
      </c>
      <c r="J58" s="7">
        <v>1.0</v>
      </c>
      <c r="K58" s="7">
        <v>6.0</v>
      </c>
      <c r="L58" s="6">
        <f t="shared" si="1"/>
        <v>7</v>
      </c>
      <c r="M58" s="7" t="s">
        <v>21</v>
      </c>
      <c r="N58" s="7" t="s">
        <v>22</v>
      </c>
      <c r="O58" s="7" t="s">
        <v>23</v>
      </c>
    </row>
    <row r="59">
      <c r="A59" s="4" t="s">
        <v>15</v>
      </c>
      <c r="B59" s="4" t="s">
        <v>16</v>
      </c>
      <c r="C59" s="5" t="s">
        <v>82</v>
      </c>
      <c r="D59" s="6">
        <v>7445.0</v>
      </c>
      <c r="E59" s="7" t="s">
        <v>18</v>
      </c>
      <c r="F59" s="7">
        <v>9.0</v>
      </c>
      <c r="G59" s="7">
        <v>3.0</v>
      </c>
      <c r="H59" s="7" t="s">
        <v>19</v>
      </c>
      <c r="I59" s="7" t="s">
        <v>20</v>
      </c>
      <c r="J59" s="7">
        <v>2.0</v>
      </c>
      <c r="K59" s="7">
        <v>2.0</v>
      </c>
      <c r="L59" s="6">
        <f t="shared" si="1"/>
        <v>4</v>
      </c>
      <c r="M59" s="7" t="s">
        <v>21</v>
      </c>
      <c r="N59" s="7" t="s">
        <v>22</v>
      </c>
      <c r="O59" s="7" t="s">
        <v>23</v>
      </c>
    </row>
    <row r="60">
      <c r="A60" s="4" t="s">
        <v>15</v>
      </c>
      <c r="B60" s="4" t="s">
        <v>16</v>
      </c>
      <c r="C60" s="5" t="s">
        <v>83</v>
      </c>
      <c r="D60" s="6">
        <v>3322.0</v>
      </c>
      <c r="E60" s="7" t="s">
        <v>18</v>
      </c>
      <c r="F60" s="7">
        <v>9.0</v>
      </c>
      <c r="G60" s="7">
        <v>3.0</v>
      </c>
      <c r="H60" s="7" t="s">
        <v>25</v>
      </c>
      <c r="I60" s="7" t="s">
        <v>20</v>
      </c>
      <c r="J60" s="7">
        <v>2.0</v>
      </c>
      <c r="K60" s="7">
        <v>2.0</v>
      </c>
      <c r="L60" s="6">
        <f t="shared" si="1"/>
        <v>4</v>
      </c>
      <c r="M60" s="7" t="s">
        <v>21</v>
      </c>
      <c r="N60" s="7" t="s">
        <v>22</v>
      </c>
      <c r="O60" s="7" t="s">
        <v>23</v>
      </c>
    </row>
    <row r="61">
      <c r="A61" s="4" t="s">
        <v>15</v>
      </c>
      <c r="B61" s="4" t="s">
        <v>16</v>
      </c>
      <c r="C61" s="5" t="s">
        <v>84</v>
      </c>
      <c r="D61" s="6">
        <v>6759.0</v>
      </c>
      <c r="E61" s="7" t="s">
        <v>18</v>
      </c>
      <c r="F61" s="7">
        <v>9.0</v>
      </c>
      <c r="G61" s="7">
        <v>4.0</v>
      </c>
      <c r="H61" s="7" t="s">
        <v>25</v>
      </c>
      <c r="I61" s="7" t="s">
        <v>33</v>
      </c>
      <c r="J61" s="7">
        <v>3.0</v>
      </c>
      <c r="K61" s="7">
        <v>2.0</v>
      </c>
      <c r="L61" s="6">
        <f t="shared" si="1"/>
        <v>5</v>
      </c>
      <c r="M61" s="7" t="s">
        <v>33</v>
      </c>
      <c r="N61" s="7" t="s">
        <v>33</v>
      </c>
      <c r="O61" s="7" t="s">
        <v>23</v>
      </c>
    </row>
    <row r="62">
      <c r="A62" s="4" t="s">
        <v>15</v>
      </c>
      <c r="B62" s="4" t="s">
        <v>16</v>
      </c>
      <c r="C62" s="5" t="s">
        <v>85</v>
      </c>
      <c r="D62" s="6">
        <v>9345.0</v>
      </c>
      <c r="E62" s="7" t="s">
        <v>18</v>
      </c>
      <c r="F62" s="7">
        <v>9.0</v>
      </c>
      <c r="G62" s="7">
        <v>9.0</v>
      </c>
      <c r="H62" s="7" t="s">
        <v>19</v>
      </c>
      <c r="I62" s="7" t="s">
        <v>20</v>
      </c>
      <c r="J62" s="7">
        <v>4.0</v>
      </c>
      <c r="K62" s="7">
        <v>10.0</v>
      </c>
      <c r="L62" s="6">
        <f t="shared" si="1"/>
        <v>14</v>
      </c>
      <c r="M62" s="7" t="s">
        <v>21</v>
      </c>
      <c r="N62" s="7" t="s">
        <v>22</v>
      </c>
      <c r="O62" s="7" t="s">
        <v>23</v>
      </c>
    </row>
    <row r="63">
      <c r="A63" s="4" t="s">
        <v>15</v>
      </c>
      <c r="B63" s="4" t="s">
        <v>16</v>
      </c>
      <c r="C63" s="5" t="s">
        <v>86</v>
      </c>
      <c r="D63" s="6">
        <v>2791.0</v>
      </c>
      <c r="E63" s="7" t="s">
        <v>18</v>
      </c>
      <c r="F63" s="7">
        <v>9.0</v>
      </c>
      <c r="G63" s="7">
        <v>3.0</v>
      </c>
      <c r="H63" s="7" t="s">
        <v>25</v>
      </c>
      <c r="I63" s="7" t="s">
        <v>20</v>
      </c>
      <c r="J63" s="7">
        <v>2.0</v>
      </c>
      <c r="K63" s="7">
        <v>2.0</v>
      </c>
      <c r="L63" s="6">
        <f t="shared" si="1"/>
        <v>4</v>
      </c>
      <c r="M63" s="7" t="s">
        <v>21</v>
      </c>
      <c r="N63" s="7" t="s">
        <v>22</v>
      </c>
      <c r="O63" s="7" t="s">
        <v>23</v>
      </c>
    </row>
    <row r="64">
      <c r="A64" s="4" t="s">
        <v>15</v>
      </c>
      <c r="B64" s="4" t="s">
        <v>16</v>
      </c>
      <c r="C64" s="5" t="s">
        <v>87</v>
      </c>
      <c r="D64" s="6">
        <v>1127.0</v>
      </c>
      <c r="E64" s="7" t="s">
        <v>18</v>
      </c>
      <c r="F64" s="7">
        <v>10.0</v>
      </c>
      <c r="G64" s="7">
        <v>3.0</v>
      </c>
      <c r="H64" s="7" t="s">
        <v>25</v>
      </c>
      <c r="I64" s="7" t="s">
        <v>33</v>
      </c>
      <c r="J64" s="7">
        <v>2.0</v>
      </c>
      <c r="K64" s="7">
        <v>2.0</v>
      </c>
      <c r="L64" s="6">
        <f t="shared" si="1"/>
        <v>4</v>
      </c>
      <c r="M64" s="7" t="s">
        <v>33</v>
      </c>
      <c r="N64" s="7" t="s">
        <v>33</v>
      </c>
      <c r="O64" s="7" t="s">
        <v>23</v>
      </c>
    </row>
    <row r="65">
      <c r="A65" s="4" t="s">
        <v>15</v>
      </c>
      <c r="B65" s="4" t="s">
        <v>16</v>
      </c>
      <c r="C65" s="5" t="s">
        <v>88</v>
      </c>
      <c r="D65" s="6">
        <v>7324.0</v>
      </c>
      <c r="E65" s="7" t="s">
        <v>18</v>
      </c>
      <c r="F65" s="7">
        <v>10.0</v>
      </c>
      <c r="G65" s="7">
        <v>3.0</v>
      </c>
      <c r="H65" s="7" t="s">
        <v>25</v>
      </c>
      <c r="I65" s="7" t="s">
        <v>20</v>
      </c>
      <c r="J65" s="7">
        <v>2.0</v>
      </c>
      <c r="K65" s="7">
        <v>2.0</v>
      </c>
      <c r="L65" s="6">
        <f t="shared" si="1"/>
        <v>4</v>
      </c>
      <c r="M65" s="7" t="s">
        <v>21</v>
      </c>
      <c r="N65" s="7" t="s">
        <v>22</v>
      </c>
      <c r="O65" s="7" t="s">
        <v>23</v>
      </c>
    </row>
    <row r="66">
      <c r="A66" s="4" t="s">
        <v>15</v>
      </c>
      <c r="B66" s="4" t="s">
        <v>16</v>
      </c>
      <c r="C66" s="5" t="s">
        <v>89</v>
      </c>
      <c r="D66" s="6">
        <v>3256.0</v>
      </c>
      <c r="E66" s="7" t="s">
        <v>18</v>
      </c>
      <c r="F66" s="7">
        <v>10.0</v>
      </c>
      <c r="G66" s="7">
        <v>4.0</v>
      </c>
      <c r="H66" s="7" t="s">
        <v>25</v>
      </c>
      <c r="I66" s="7" t="s">
        <v>33</v>
      </c>
      <c r="J66" s="7">
        <v>3.0</v>
      </c>
      <c r="K66" s="7">
        <v>2.0</v>
      </c>
      <c r="L66" s="6">
        <f t="shared" si="1"/>
        <v>5</v>
      </c>
      <c r="M66" s="7" t="s">
        <v>33</v>
      </c>
      <c r="N66" s="7" t="s">
        <v>33</v>
      </c>
      <c r="O66" s="7" t="s">
        <v>23</v>
      </c>
    </row>
    <row r="67">
      <c r="A67" s="4" t="s">
        <v>15</v>
      </c>
      <c r="B67" s="4" t="s">
        <v>16</v>
      </c>
      <c r="C67" s="5" t="s">
        <v>90</v>
      </c>
      <c r="D67" s="6">
        <v>1496.0</v>
      </c>
      <c r="E67" s="7" t="s">
        <v>18</v>
      </c>
      <c r="F67" s="7">
        <v>10.0</v>
      </c>
      <c r="G67" s="7">
        <v>12.0</v>
      </c>
      <c r="H67" s="7" t="s">
        <v>19</v>
      </c>
      <c r="I67" s="7" t="s">
        <v>20</v>
      </c>
      <c r="J67" s="7">
        <v>4.0</v>
      </c>
      <c r="K67" s="7">
        <v>16.0</v>
      </c>
      <c r="L67" s="6">
        <f t="shared" si="1"/>
        <v>20</v>
      </c>
      <c r="M67" s="7" t="s">
        <v>21</v>
      </c>
      <c r="N67" s="7" t="s">
        <v>22</v>
      </c>
      <c r="O67" s="7" t="s">
        <v>23</v>
      </c>
    </row>
    <row r="68"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  <row r="501"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</row>
    <row r="502"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</row>
    <row r="503"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</row>
    <row r="504"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</row>
    <row r="505"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</row>
    <row r="506"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</row>
    <row r="507"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</row>
    <row r="508"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</row>
    <row r="509"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</row>
    <row r="510"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</row>
    <row r="511"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</row>
    <row r="512"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</row>
    <row r="513"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</row>
    <row r="514"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</row>
    <row r="515"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</row>
    <row r="516"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</row>
    <row r="517"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</row>
    <row r="518"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</row>
    <row r="519"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</row>
    <row r="520"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</row>
    <row r="521"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</row>
    <row r="522"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</row>
    <row r="523"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</row>
    <row r="524"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</row>
    <row r="525"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</row>
    <row r="526"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</row>
    <row r="527"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</row>
    <row r="528"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</row>
    <row r="529"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</row>
    <row r="530"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</row>
    <row r="531"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</row>
    <row r="532"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</row>
    <row r="533"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</row>
    <row r="534"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</row>
    <row r="535"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</row>
    <row r="536"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</row>
    <row r="537"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</row>
    <row r="538"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</row>
    <row r="539"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</row>
    <row r="540"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</row>
    <row r="541"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</row>
    <row r="542"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</row>
    <row r="543"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</row>
    <row r="544"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</row>
    <row r="545"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</row>
    <row r="546"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</row>
    <row r="547"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</row>
    <row r="548"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</row>
    <row r="549"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</row>
    <row r="550"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</row>
    <row r="551"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</row>
    <row r="552"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</row>
    <row r="553"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</row>
    <row r="554"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</row>
    <row r="555"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</row>
    <row r="556"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</row>
    <row r="557"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</row>
    <row r="558"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</row>
    <row r="559"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</row>
    <row r="560"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</row>
    <row r="561"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</row>
    <row r="562"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</row>
    <row r="563"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</row>
    <row r="564"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</row>
    <row r="565"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</row>
    <row r="566"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</row>
    <row r="567"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</row>
    <row r="568"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</row>
    <row r="569"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</row>
    <row r="570"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</row>
    <row r="571"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</row>
    <row r="572"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</row>
    <row r="573"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</row>
    <row r="574"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</row>
    <row r="575"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</row>
    <row r="576"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</row>
    <row r="577"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</row>
    <row r="578"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</row>
    <row r="579"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</row>
    <row r="580"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</row>
    <row r="581"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</row>
    <row r="582"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</row>
    <row r="583"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</row>
    <row r="584"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</row>
    <row r="585"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</row>
    <row r="586"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</row>
    <row r="587"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</row>
    <row r="588"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</row>
    <row r="589"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</row>
    <row r="590"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</row>
    <row r="591"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</row>
    <row r="592"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</row>
    <row r="593"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</row>
    <row r="594"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</row>
    <row r="595"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</row>
    <row r="596"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</row>
    <row r="597"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</row>
    <row r="598"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</row>
    <row r="599"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</row>
    <row r="600"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</row>
    <row r="601"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</row>
    <row r="602"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</row>
    <row r="603"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</row>
    <row r="604"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</row>
    <row r="605"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</row>
    <row r="606"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</row>
    <row r="607"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</row>
    <row r="608"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</row>
    <row r="609"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</row>
    <row r="610"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</row>
    <row r="611"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</row>
    <row r="612"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</row>
    <row r="613"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</row>
    <row r="614"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</row>
    <row r="615"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</row>
    <row r="616"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</row>
    <row r="617"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</row>
    <row r="618"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</row>
    <row r="619"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</row>
    <row r="620"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</row>
    <row r="621"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</row>
    <row r="622"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</row>
    <row r="623"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</row>
    <row r="624"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</row>
    <row r="625"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</row>
    <row r="626"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</row>
    <row r="627"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</row>
    <row r="628"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</row>
    <row r="629"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</row>
    <row r="630"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</row>
    <row r="631"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</row>
    <row r="632"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</row>
    <row r="633"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</row>
    <row r="634"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</row>
    <row r="635"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</row>
    <row r="636"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</row>
    <row r="637"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</row>
    <row r="638"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</row>
    <row r="639"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</row>
    <row r="640"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</row>
    <row r="641"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</row>
    <row r="642"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</row>
    <row r="643"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</row>
    <row r="644"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</row>
    <row r="645"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</row>
    <row r="646"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</row>
    <row r="647"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</row>
    <row r="648"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</row>
    <row r="649"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</row>
    <row r="650"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</row>
    <row r="651"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</row>
    <row r="652"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</row>
    <row r="653"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</row>
    <row r="654"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</row>
    <row r="655"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</row>
    <row r="656"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</row>
    <row r="657"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</row>
    <row r="658"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</row>
    <row r="659"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</row>
    <row r="660"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</row>
    <row r="661"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</row>
    <row r="662"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</row>
    <row r="663"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</row>
    <row r="664"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</row>
    <row r="665"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</row>
    <row r="666"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</row>
    <row r="667"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</row>
    <row r="668"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</row>
    <row r="669"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</row>
    <row r="670"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</row>
    <row r="671"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</row>
    <row r="672"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</row>
    <row r="673"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</row>
    <row r="674"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</row>
    <row r="675"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</row>
    <row r="676"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</row>
    <row r="677"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</row>
    <row r="678"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</row>
    <row r="679"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</row>
    <row r="680"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</row>
    <row r="681"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</row>
    <row r="682"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</row>
    <row r="683"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</row>
    <row r="684"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</row>
    <row r="685"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</row>
    <row r="686"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</row>
    <row r="687"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</row>
    <row r="688"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</row>
    <row r="689"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</row>
    <row r="690"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</row>
    <row r="691"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</row>
    <row r="692"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</row>
    <row r="693"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</row>
    <row r="694"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</row>
    <row r="695"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</row>
    <row r="696"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</row>
    <row r="697"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</row>
    <row r="698"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</row>
    <row r="699"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</row>
    <row r="700"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</row>
    <row r="701"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</row>
    <row r="702"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</row>
    <row r="703"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</row>
    <row r="704"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</row>
    <row r="705"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</row>
    <row r="706"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</row>
    <row r="707"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</row>
    <row r="708"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</row>
    <row r="709"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</row>
    <row r="710"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</row>
    <row r="711"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</row>
    <row r="712"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</row>
    <row r="713"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</row>
    <row r="714"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</row>
    <row r="715"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</row>
    <row r="716"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</row>
    <row r="717"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</row>
    <row r="718"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</row>
    <row r="719"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</row>
    <row r="720"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</row>
    <row r="721"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</row>
    <row r="722"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</row>
    <row r="723"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</row>
    <row r="724"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</row>
    <row r="725"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</row>
    <row r="726"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</row>
    <row r="727"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</row>
    <row r="728"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</row>
    <row r="729"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</row>
    <row r="730"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</row>
    <row r="731"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</row>
    <row r="732"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</row>
    <row r="733"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</row>
    <row r="734"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</row>
    <row r="735"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</row>
    <row r="736"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</row>
    <row r="737"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</row>
    <row r="738"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</row>
    <row r="739"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</row>
    <row r="740"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</row>
    <row r="741"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</row>
    <row r="742"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</row>
    <row r="743"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</row>
    <row r="744"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</row>
    <row r="745"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</row>
    <row r="746"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</row>
    <row r="747"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</row>
    <row r="748"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</row>
    <row r="749"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</row>
    <row r="750"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</row>
    <row r="751"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</row>
    <row r="752"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</row>
    <row r="753"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</row>
    <row r="754"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</row>
    <row r="755"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</row>
    <row r="756"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</row>
    <row r="757"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</row>
    <row r="758"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</row>
    <row r="759"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</row>
    <row r="760"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</row>
    <row r="761"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</row>
    <row r="762"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</row>
    <row r="763"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</row>
    <row r="764"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</row>
    <row r="765"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</row>
    <row r="766"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</row>
    <row r="767"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</row>
    <row r="768"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</row>
    <row r="769"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</row>
    <row r="770"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</row>
    <row r="771"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</row>
    <row r="772"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</row>
    <row r="773"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</row>
    <row r="774"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</row>
    <row r="775"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</row>
    <row r="776"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</row>
    <row r="777"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</row>
    <row r="778"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</row>
    <row r="779"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</row>
    <row r="780"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</row>
    <row r="781"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</row>
    <row r="782"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</row>
    <row r="783"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</row>
    <row r="784"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</row>
    <row r="785"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</row>
    <row r="786"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</row>
    <row r="787"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</row>
    <row r="788"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</row>
    <row r="789"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</row>
    <row r="790"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</row>
    <row r="791"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</row>
    <row r="792"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</row>
    <row r="793"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</row>
    <row r="794"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</row>
    <row r="795"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</row>
    <row r="796"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</row>
    <row r="797"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</row>
    <row r="798"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</row>
    <row r="799"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</row>
    <row r="800"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</row>
    <row r="801"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</row>
    <row r="802"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</row>
    <row r="803"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</row>
    <row r="804"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</row>
    <row r="805"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</row>
    <row r="806"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</row>
    <row r="807"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</row>
    <row r="808"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</row>
    <row r="809"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</row>
    <row r="810"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</row>
    <row r="811"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</row>
    <row r="812"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</row>
    <row r="813"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</row>
    <row r="814"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</row>
    <row r="815"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</row>
    <row r="816"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</row>
    <row r="817"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</row>
    <row r="818"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</row>
    <row r="819"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</row>
    <row r="820"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</row>
    <row r="821"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</row>
    <row r="822"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</row>
    <row r="823"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</row>
    <row r="824"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</row>
    <row r="825"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</row>
    <row r="826"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</row>
    <row r="827"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</row>
    <row r="828"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</row>
    <row r="829"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</row>
    <row r="830"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</row>
    <row r="831"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</row>
    <row r="832"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</row>
    <row r="833"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</row>
    <row r="834"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</row>
    <row r="835"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</row>
    <row r="836"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</row>
    <row r="837"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</row>
    <row r="838"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</row>
    <row r="839"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</row>
    <row r="840"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</row>
    <row r="841"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</row>
    <row r="842"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</row>
    <row r="843"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</row>
    <row r="844"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</row>
    <row r="845"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</row>
    <row r="846"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</row>
    <row r="847"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</row>
    <row r="848"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</row>
    <row r="849"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</row>
    <row r="850"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</row>
    <row r="851"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</row>
    <row r="852"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</row>
    <row r="853"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</row>
    <row r="854"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</row>
    <row r="855"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</row>
    <row r="856"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</row>
    <row r="857"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</row>
    <row r="858"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</row>
    <row r="859"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</row>
    <row r="860"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</row>
    <row r="861"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</row>
    <row r="862"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</row>
    <row r="863"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</row>
    <row r="864"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</row>
    <row r="865"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</row>
    <row r="866"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</row>
    <row r="867"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</row>
    <row r="868"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</row>
    <row r="869"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</row>
    <row r="870"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</row>
    <row r="871"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</row>
    <row r="872"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</row>
    <row r="873"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</row>
    <row r="874"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</row>
    <row r="875"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</row>
    <row r="876"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</row>
    <row r="877"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</row>
    <row r="878"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</row>
    <row r="879"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</row>
    <row r="880"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</row>
    <row r="881"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</row>
    <row r="882"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</row>
    <row r="883"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</row>
    <row r="884"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</row>
    <row r="885"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</row>
    <row r="886"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</row>
    <row r="887"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</row>
    <row r="888"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</row>
    <row r="889"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</row>
    <row r="890"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</row>
    <row r="891"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</row>
    <row r="892"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</row>
    <row r="893"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</row>
    <row r="894"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</row>
    <row r="895"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</row>
    <row r="896"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</row>
    <row r="897"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</row>
    <row r="898"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</row>
    <row r="899"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</row>
    <row r="900"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</row>
    <row r="901"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</row>
    <row r="902"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</row>
    <row r="903"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</row>
    <row r="904"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</row>
    <row r="905"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</row>
    <row r="906"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</row>
    <row r="907"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</row>
    <row r="908"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</row>
    <row r="909"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</row>
    <row r="910"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</row>
    <row r="911"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</row>
    <row r="912"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</row>
    <row r="913"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</row>
    <row r="914"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</row>
    <row r="915"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</row>
    <row r="916"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</row>
    <row r="917"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</row>
    <row r="918"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</row>
    <row r="919"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</row>
    <row r="920"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</row>
    <row r="921"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</row>
    <row r="922"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</row>
    <row r="923"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</row>
    <row r="924"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</row>
    <row r="925"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</row>
    <row r="926"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</row>
    <row r="927"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</row>
    <row r="928"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</row>
    <row r="929"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</row>
    <row r="930"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</row>
    <row r="931"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</row>
    <row r="932"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</row>
    <row r="933"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</row>
    <row r="934"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</row>
    <row r="935"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</row>
    <row r="936"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</row>
    <row r="937"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</row>
    <row r="938"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</row>
    <row r="939"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</row>
    <row r="940"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</row>
    <row r="941"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</row>
    <row r="942"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</row>
    <row r="943"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</row>
    <row r="944"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</row>
    <row r="945"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</row>
    <row r="946"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</row>
    <row r="947"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</row>
    <row r="948"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</row>
    <row r="949"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</row>
    <row r="950"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</row>
    <row r="951"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</row>
    <row r="952"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</row>
    <row r="953"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</row>
    <row r="954"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</row>
    <row r="955"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</row>
    <row r="956"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</row>
    <row r="957"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</row>
    <row r="958"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</row>
    <row r="959"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</row>
    <row r="960"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</row>
    <row r="961"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</row>
    <row r="962"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</row>
    <row r="963"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</row>
    <row r="964"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</row>
    <row r="965"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</row>
    <row r="966"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</row>
    <row r="967"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</row>
    <row r="968"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</row>
    <row r="969"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</row>
    <row r="970"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</row>
    <row r="971"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</row>
    <row r="972"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</row>
    <row r="973"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</row>
    <row r="974"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</row>
    <row r="975"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</row>
    <row r="976"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</row>
    <row r="977"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</row>
    <row r="978"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</row>
    <row r="979"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</row>
    <row r="980"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</row>
    <row r="981"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</row>
    <row r="982"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</row>
    <row r="983"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</row>
    <row r="984"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</row>
    <row r="985"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</row>
    <row r="986"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</row>
    <row r="987"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</row>
    <row r="988"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</row>
    <row r="989"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</row>
    <row r="990"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</row>
    <row r="991"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</row>
    <row r="992"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</row>
    <row r="993"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</row>
    <row r="994"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</row>
    <row r="995"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</row>
    <row r="996"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</row>
    <row r="997"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</row>
    <row r="998"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</row>
    <row r="999"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</row>
    <row r="1000"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</row>
  </sheetData>
  <autoFilter ref="$A$1:$O$67"/>
  <drawing r:id="rId1"/>
</worksheet>
</file>